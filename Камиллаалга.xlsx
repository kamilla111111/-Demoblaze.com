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84" windowWidth="22020" windowHeight="6384" activeTab="2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I9" i="3" l="1"/>
  <c r="G28" i="1"/>
  <c r="I8" i="3"/>
  <c r="G27" i="1"/>
  <c r="I7" i="3"/>
  <c r="G20" i="1"/>
  <c r="I6" i="3"/>
  <c r="I5" i="3"/>
  <c r="G25" i="1"/>
  <c r="I4" i="3"/>
  <c r="I3" i="3"/>
  <c r="G17" i="1"/>
  <c r="I2" i="3" l="1"/>
  <c r="G26" i="1" l="1"/>
  <c r="G24" i="1"/>
  <c r="G23" i="1"/>
  <c r="G22" i="1"/>
  <c r="G21" i="1"/>
  <c r="G19" i="1"/>
  <c r="G18" i="1"/>
  <c r="G12" i="1"/>
  <c r="G13" i="1"/>
  <c r="G11" i="1" l="1"/>
  <c r="G10" i="1"/>
  <c r="G9" i="1"/>
  <c r="G8" i="1"/>
  <c r="G7" i="1"/>
  <c r="G6" i="1"/>
</calcChain>
</file>

<file path=xl/sharedStrings.xml><?xml version="1.0" encoding="utf-8"?>
<sst xmlns="http://schemas.openxmlformats.org/spreadsheetml/2006/main" count="499" uniqueCount="303">
  <si>
    <t>ID</t>
  </si>
  <si>
    <t>CL-1</t>
  </si>
  <si>
    <t xml:space="preserve">Модуль </t>
  </si>
  <si>
    <t>Проверка</t>
  </si>
  <si>
    <t xml:space="preserve">Ожидаемый результат </t>
  </si>
  <si>
    <t xml:space="preserve">Статус </t>
  </si>
  <si>
    <t xml:space="preserve">Комментарий </t>
  </si>
  <si>
    <t>Навигация</t>
  </si>
  <si>
    <t>Главная страница загрузилась, видны меню и категории</t>
  </si>
  <si>
    <t>Pass</t>
  </si>
  <si>
    <t>Загрузка главной страницы https://www.demoblaze.com</t>
  </si>
  <si>
    <t>CL-2</t>
  </si>
  <si>
    <t>CL-3</t>
  </si>
  <si>
    <t>CL-4</t>
  </si>
  <si>
    <t xml:space="preserve">Скриншот </t>
  </si>
  <si>
    <t xml:space="preserve">Сайт загружается быстро (1.28 с), но есть оптимизации:
- Слишком много запросов (34)
- Большой объем данных (2.2 MB), </t>
  </si>
  <si>
    <t xml:space="preserve">Отображение меню </t>
  </si>
  <si>
    <t>все пункты отображаются : Home, Contact, About Us, Cart, Log in, Sign up</t>
  </si>
  <si>
    <t xml:space="preserve">Все пункты отображаются корректно </t>
  </si>
  <si>
    <t>Отображение меню слева</t>
  </si>
  <si>
    <t>все пункты отображаются корректно: Phones, Laptops, Monitors</t>
  </si>
  <si>
    <t>Интерфейс</t>
  </si>
  <si>
    <t xml:space="preserve">Отображение карточек товара </t>
  </si>
  <si>
    <t>Карточки товаров отобраэаются верно. Видны картинки, цена, описание и название</t>
  </si>
  <si>
    <t xml:space="preserve">Отображается корреткно </t>
  </si>
  <si>
    <t>CL-5</t>
  </si>
  <si>
    <t>Категория "Phones"</t>
  </si>
  <si>
    <t>Нажать "Phones"</t>
  </si>
  <si>
    <t>Отображаются 7 телефонов</t>
  </si>
  <si>
    <t>CL-6</t>
  </si>
  <si>
    <t>Категория "Laptops"</t>
  </si>
  <si>
    <t>Нажать "Laptops"</t>
  </si>
  <si>
    <t>Отображаются 6 ноутбуков</t>
  </si>
  <si>
    <t>CL-7</t>
  </si>
  <si>
    <t>Категория "Monitors"</t>
  </si>
  <si>
    <t>Нажать "Monitors"</t>
  </si>
  <si>
    <t>Отображается 2 монитора</t>
  </si>
  <si>
    <t>CL-8</t>
  </si>
  <si>
    <t>Кнопка About Us</t>
  </si>
  <si>
    <t>Нажать About Us</t>
  </si>
  <si>
    <t>Окно открывается. Кнопка Close работает. </t>
  </si>
  <si>
    <t>CL-9</t>
  </si>
  <si>
    <t xml:space="preserve">Интерфейс </t>
  </si>
  <si>
    <t xml:space="preserve">Кнопка  Contact </t>
  </si>
  <si>
    <t xml:space="preserve">Нажать на Contact </t>
  </si>
  <si>
    <t>Окно открывается. Кнопки Close работает и Send message работают . </t>
  </si>
  <si>
    <t>CL-10</t>
  </si>
  <si>
    <t>Кнопка "Sign up"</t>
  </si>
  <si>
    <t>Нажать "Sign up"</t>
  </si>
  <si>
    <t>Модальное окно открывается.</t>
  </si>
  <si>
    <t>CL-11</t>
  </si>
  <si>
    <t>Поля ввода</t>
  </si>
  <si>
    <t>Проверить наличие полей: Username, Password</t>
  </si>
  <si>
    <t>Поля присутствуют</t>
  </si>
  <si>
    <t>CL-12</t>
  </si>
  <si>
    <t>Функционал</t>
  </si>
  <si>
    <t>Регистрация через UI  (до активации)</t>
  </si>
  <si>
    <t>Проверить регистрацию, нажав кнопку Sign up и ввести валидные данные в поля</t>
  </si>
  <si>
    <t xml:space="preserve">Ничего не происходит, высвечивает окно с ошибкой </t>
  </si>
  <si>
    <t>Failed</t>
  </si>
  <si>
    <t>CL-13</t>
  </si>
  <si>
    <t>CL-14</t>
  </si>
  <si>
    <t>CL-15</t>
  </si>
  <si>
    <t>CL-16</t>
  </si>
  <si>
    <t>CL-17</t>
  </si>
  <si>
    <t>CL-18</t>
  </si>
  <si>
    <t>Регистрация через UI  (после активации)</t>
  </si>
  <si>
    <t>Активировать регистрацию через консоль. Проверить регистрацию, нажав кнопку Sign up и ввести валидные данные в поля</t>
  </si>
  <si>
    <t xml:space="preserve">Регистрация прошла успешно </t>
  </si>
  <si>
    <t>Регистрация через API</t>
  </si>
  <si>
    <t xml:space="preserve">Пользователь создан </t>
  </si>
  <si>
    <t>Регистрация  с пустыми полями (UI)</t>
  </si>
  <si>
    <t xml:space="preserve">Ошибка валидации </t>
  </si>
  <si>
    <t xml:space="preserve">Пустые поля не проходят </t>
  </si>
  <si>
    <t>HTTP 400/ ошибка</t>
  </si>
  <si>
    <t>Регистрация с пустыми полями (API),Отправить POST /signup с username="" password=""</t>
  </si>
  <si>
    <t>HTTP 500 Internal Server Error, сервер упал</t>
  </si>
  <si>
    <t xml:space="preserve">Не отправляется, высвечивается окно с ошибкой </t>
  </si>
  <si>
    <t>Сообщение отправляется</t>
  </si>
  <si>
    <t xml:space="preserve">Отправить сообщение в Contact с пустыми полями </t>
  </si>
  <si>
    <t xml:space="preserve">Отправить сообщение в Contact с валидными  полями </t>
  </si>
  <si>
    <t xml:space="preserve">отправляется сообщение </t>
  </si>
  <si>
    <t>CL-19</t>
  </si>
  <si>
    <t>CL-20</t>
  </si>
  <si>
    <t>CL-21</t>
  </si>
  <si>
    <t>CL-22</t>
  </si>
  <si>
    <t>CL-23</t>
  </si>
  <si>
    <t xml:space="preserve">Отправить с ошибкой в указанной почте </t>
  </si>
  <si>
    <t xml:space="preserve">Регистрация с валидным логином и паролем </t>
  </si>
  <si>
    <t xml:space="preserve">200 ОК </t>
  </si>
  <si>
    <t xml:space="preserve">200 ок </t>
  </si>
  <si>
    <t xml:space="preserve">Регистрация с существующим логином </t>
  </si>
  <si>
    <t>Регистрация только username пустой</t>
  </si>
  <si>
    <t xml:space="preserve">Ошибка введите username </t>
  </si>
  <si>
    <t xml:space="preserve">500Internal Server Error, сервер упал </t>
  </si>
  <si>
    <t>"errorMessage": "This user already exist."</t>
  </si>
  <si>
    <t xml:space="preserve">регистрация только password пустой </t>
  </si>
  <si>
    <t>ошибка введите password, HTTP 400,</t>
  </si>
  <si>
    <t>CL-24</t>
  </si>
  <si>
    <t>CL-25</t>
  </si>
  <si>
    <t>CL-26</t>
  </si>
  <si>
    <t>CL-27</t>
  </si>
  <si>
    <t xml:space="preserve">Регистрация только пробелы </t>
  </si>
  <si>
    <t>HTTP 400, ошибка</t>
  </si>
  <si>
    <t>Регистрация очень длинный username</t>
  </si>
  <si>
    <t>Регистрация с спецсимволами (SQL)</t>
  </si>
  <si>
    <t>Экранирование / блокировка</t>
  </si>
  <si>
    <t>регистрация с спецсимволами (XSS)</t>
  </si>
  <si>
    <r>
      <t>"errorMessage"</t>
    </r>
    <r>
      <rPr>
        <sz val="11"/>
        <color rgb="FF000000"/>
        <rFont val="Calibri"/>
        <family val="2"/>
        <charset val="204"/>
        <scheme val="minor"/>
      </rPr>
      <t xml:space="preserve">: </t>
    </r>
    <r>
      <rPr>
        <sz val="11"/>
        <color rgb="FF0451A5"/>
        <rFont val="Calibri"/>
        <family val="2"/>
        <charset val="204"/>
        <scheme val="minor"/>
      </rPr>
      <t>"This user already exist."</t>
    </r>
  </si>
  <si>
    <t xml:space="preserve">Название </t>
  </si>
  <si>
    <t xml:space="preserve">Приоритет </t>
  </si>
  <si>
    <t>Модуль</t>
  </si>
  <si>
    <t xml:space="preserve">Предусловия </t>
  </si>
  <si>
    <t>Шаги</t>
  </si>
  <si>
    <t>Статус</t>
  </si>
  <si>
    <t>ТС-01</t>
  </si>
  <si>
    <t xml:space="preserve">Проверка доступности загрузки главной страницы </t>
  </si>
  <si>
    <t xml:space="preserve">Навигация </t>
  </si>
  <si>
    <t xml:space="preserve">Браузер открыт, кэш очищен </t>
  </si>
  <si>
    <t>1. Зайти на сайт https://www.demoblaze.com</t>
  </si>
  <si>
    <t>Главная страница загрузилась без ошибок (HTTP 200), видны меню, категории и товары. Время загрузки &lt; 3 секунд.</t>
  </si>
  <si>
    <t>PASS</t>
  </si>
  <si>
    <t>High</t>
  </si>
  <si>
    <t>ТС-02</t>
  </si>
  <si>
    <t>ТС-03</t>
  </si>
  <si>
    <t>ТС-04</t>
  </si>
  <si>
    <t>ТС-05</t>
  </si>
  <si>
    <t>ТС-06</t>
  </si>
  <si>
    <t>ТС-07</t>
  </si>
  <si>
    <t>ТС-08</t>
  </si>
  <si>
    <t>ТС-09</t>
  </si>
  <si>
    <t>Проверка состава верхнего навигационного меню</t>
  </si>
  <si>
    <t>Главная страница загружена.</t>
  </si>
  <si>
    <t>1. Осмотреть верхнюю панель сайта</t>
  </si>
  <si>
    <t>Присутствуют все пункты: Home, Contact, About Us, Cart, Log in, Sign up, кнопки  активны и кликабельны.</t>
  </si>
  <si>
    <t>Проверка отображения категорий в левом меню</t>
  </si>
  <si>
    <t>1.Найти блок "CATEGORIES" слева 2.Проверить список</t>
  </si>
  <si>
    <t>Блок виден, Присутствуют: Phones, Laptops, Monitors</t>
  </si>
  <si>
    <t>Проверка структуры карточки товара</t>
  </si>
  <si>
    <t>1.Навести курсор на любой товар 2. Проверить содержимое</t>
  </si>
  <si>
    <t>Карточка подсвечивается, Есть: картинка (img), название (title), цена (price)</t>
  </si>
  <si>
    <t>Проверка фильтрации товаров по категории Phones</t>
  </si>
  <si>
    <t xml:space="preserve">Интерфейс/каталог </t>
  </si>
  <si>
    <t>1.Нажать на категорию "Phones" 2. Посчитать отображаемые товары 3. Проверить названия</t>
  </si>
  <si>
    <t>Список товаров обновился, отображается ровно 7 товаров , все товары содержат модели телефонов</t>
  </si>
  <si>
    <t>Проверка фильтрации товаров по категории Laptops</t>
  </si>
  <si>
    <t>1. Нажать на категорию "Laptops" 2. Посчитать отображаемые товары</t>
  </si>
  <si>
    <t>Список товаров обновился, отображается ровно 6 товаров</t>
  </si>
  <si>
    <t xml:space="preserve">  </t>
  </si>
  <si>
    <t>Проверка фильтрации товаров по категории Monitors</t>
  </si>
  <si>
    <t>1. Нажать на категорию Monitors 2. Посчитать отображаемые товары</t>
  </si>
  <si>
    <t>Список товаров обновился, отображается ровно 2 товара</t>
  </si>
  <si>
    <t>Проверка открытия и закрытия About Us</t>
  </si>
  <si>
    <t>Интерфейс / Модальные окна</t>
  </si>
  <si>
    <t>1.Нажать кнопку "About Us" 2. Нажать на крестик  или кнопку Close</t>
  </si>
  <si>
    <t>Появилось модальное окно с текстом. Модальное окно закрылось</t>
  </si>
  <si>
    <t>Medium</t>
  </si>
  <si>
    <t>Проверка открытия и структуры контактной формы</t>
  </si>
  <si>
    <t xml:space="preserve">1.Нажать кнопку "Contact" 2. Проверить поля 3.Проверить кнопки </t>
  </si>
  <si>
    <t>Появилось модальное окно. Присутствуют: Email, Name, Message. Есть кнопка "Send Message" и крестик</t>
  </si>
  <si>
    <t>ТС-10</t>
  </si>
  <si>
    <t>ТС-11</t>
  </si>
  <si>
    <t>ТС-12</t>
  </si>
  <si>
    <t>ТС-13</t>
  </si>
  <si>
    <t>ТС-14</t>
  </si>
  <si>
    <t>ТС-15</t>
  </si>
  <si>
    <t>ТС-16</t>
  </si>
  <si>
    <t>Проверка открытия формы регистрации</t>
  </si>
  <si>
    <t>Интерфейс / Регистрация</t>
  </si>
  <si>
    <t>1Нажать кнопку "Sign up" 2. Проверить поля</t>
  </si>
  <si>
    <t>Появилось модальное окно. Присутствуют: Username, Password</t>
  </si>
  <si>
    <t>Проверка видимости полей Username и Password</t>
  </si>
  <si>
    <t>Открыто окно регистрации (Sign up)</t>
  </si>
  <si>
    <t>1.Нажать на поле Username 2. Нажать на поле Password</t>
  </si>
  <si>
    <t>Курсор появился, поле активно. Курсор появился, поле активно (ввод скрыт точками)</t>
  </si>
  <si>
    <t>Проверка регистрации при неинициализированном UI</t>
  </si>
  <si>
    <t>Функционал / Регистрация</t>
  </si>
  <si>
    <t>1.Нажать "Sign up", ввести данные, нажать кнопку</t>
  </si>
  <si>
    <t>Фактический результат</t>
  </si>
  <si>
    <t> Появляется ошибка или ничего не происходит. UI должен быть синхронизирован с API.</t>
  </si>
  <si>
    <t>Сайт открыт в режиме инкогнито, консоль не использовалась.</t>
  </si>
  <si>
    <t>UI не активен до "пинка" консолью</t>
  </si>
  <si>
    <t>FAIL </t>
  </si>
  <si>
    <t>Проверка регистрации после активации UI консолью</t>
  </si>
  <si>
    <t> В консоли выполнен код активации (логин через API).</t>
  </si>
  <si>
    <t xml:space="preserve">Открылось окно, регистрация прошла успешно </t>
  </si>
  <si>
    <t xml:space="preserve">регистрация прошла успешно </t>
  </si>
  <si>
    <t>Проверка создания пользователя через API</t>
  </si>
  <si>
    <t>API</t>
  </si>
  <si>
    <t>Открыта консоль браузера.</t>
  </si>
  <si>
    <t>Выполнить POST /signup с валидными данными</t>
  </si>
  <si>
    <t> Пользователь создан, API вернул успех.</t>
  </si>
  <si>
    <t>Проверка UI-валидации пустых полей</t>
  </si>
  <si>
    <t>1.Оставить поля пустыми 2. Нажать "Sign up"</t>
  </si>
  <si>
    <t>Появляется ошибка: "Please fill out Username and Password"</t>
  </si>
  <si>
    <t>UI не дает отправить пустую форму.</t>
  </si>
  <si>
    <t>ТС-17</t>
  </si>
  <si>
    <t>ТС-18</t>
  </si>
  <si>
    <t>ТС-19</t>
  </si>
  <si>
    <t>ТС-20</t>
  </si>
  <si>
    <t>ТС-21</t>
  </si>
  <si>
    <t>ТС-22</t>
  </si>
  <si>
    <t>ТС-23</t>
  </si>
  <si>
    <t>ТС-24</t>
  </si>
  <si>
    <t>Проверка серверной валидации пустых полей</t>
  </si>
  <si>
    <t>Открыто окно регистрации.</t>
  </si>
  <si>
    <t>API / Безопасность</t>
  </si>
  <si>
    <t>Открыта консоль</t>
  </si>
  <si>
    <t>1.Отправить POST /signup с username="", password=""</t>
  </si>
  <si>
    <t>HTTP 400, ошибка валидации</t>
  </si>
  <si>
    <t> Сервер должен отклонить запрос с пустыми полями.</t>
  </si>
  <si>
    <t>BUG-001</t>
  </si>
  <si>
    <t>Проверка отправки пустой контактной формы</t>
  </si>
  <si>
    <t>Функционал / Contact</t>
  </si>
  <si>
    <t>Открыто окно Contact.</t>
  </si>
  <si>
    <t>1.Оставить поля пустыми 2.Нажать "Send Message"</t>
  </si>
  <si>
    <t>BUG-002</t>
  </si>
  <si>
    <t>Проверка отправки контактной формы с корректными данными</t>
  </si>
  <si>
    <t xml:space="preserve">Пустая форма не должна отправляться </t>
  </si>
  <si>
    <t>форма отправляется</t>
  </si>
  <si>
    <t>1.Заполнить поля  2.Нажать "Send Message"</t>
  </si>
  <si>
    <t>Сообщение отправлено успешно.</t>
  </si>
  <si>
    <t>Проверка валидации формата Email</t>
  </si>
  <si>
    <t xml:space="preserve">1.Заполнить форму с невалидным Email 2.Нажать "Send Message" </t>
  </si>
  <si>
    <t>Сервер или UI должен отклонить невалидный email.</t>
  </si>
  <si>
    <t>BUG-003</t>
  </si>
  <si>
    <t>Повторная проверка успешной регистрации через API</t>
  </si>
  <si>
    <t>Выполнить POST /signup</t>
  </si>
  <si>
    <t>Status 200</t>
  </si>
  <si>
    <t>Открыт браузер. Открыта вкладка Network в DevTools для отслеживания запросов.</t>
  </si>
  <si>
    <t>Проверка обработки дублирующего логина</t>
  </si>
  <si>
    <t>API / Регистрация</t>
  </si>
  <si>
    <t>Открыт Postman.
Пользователь demoblaze уже существует.</t>
  </si>
  <si>
    <t>{"errorMessage": "This user already exist."}</t>
  </si>
  <si>
    <t xml:space="preserve"> Отправить запрос Метод POST
URL https://api.demoblaze.com/signup
Headers Content-Type: application/json
Body {"username": "demoblaze", "password": "demoblaze"}
Проверить тело ответа</t>
  </si>
  <si>
    <t>Проверка валидации пустого username</t>
  </si>
  <si>
    <t>Открыт Postman.</t>
  </si>
  <si>
    <t>Отправить запрос. Метод POST
URL https://api.demoblaze.com/signup
Headers Content-Type: application/json
Body {"username": "", "password": "Test@123"}</t>
  </si>
  <si>
    <t>Статус-код: 400 Bad Request, {"errorMessage": "Username is required"}</t>
  </si>
  <si>
    <t>Сервер вернул HTTP 500</t>
  </si>
  <si>
    <t>BUG-004</t>
  </si>
  <si>
    <t>Проверка валидации пустого password</t>
  </si>
  <si>
    <t>Открыт Postman.
Создан новый запрос.</t>
  </si>
  <si>
    <t>Отправить запрос.Метод POST
URL https://api.demoblaze.com/signup
Headers Content-Type: application/json
Body {"username": "validuser_123", "password": "Pass123!"}</t>
  </si>
  <si>
    <t>BUG-005</t>
  </si>
  <si>
    <t>ТС-25</t>
  </si>
  <si>
    <t>ТС-26</t>
  </si>
  <si>
    <t>ТС-27</t>
  </si>
  <si>
    <t>Проверка обработки пробелов в полях</t>
  </si>
  <si>
    <t>Отправить запрос. Метод POST
URL https://api.demoblaze.com/signup
Headers Content-Type: application/json
Body {"username": " ", "password": " "}</t>
  </si>
  <si>
    <t>Проверка ограничения длины username</t>
  </si>
  <si>
    <t>Отправить запрос. Метод POST
URL https://api.demoblaze.com/signup
Headers Content-Type: application/json
Body {"username": "a".repeat(10000), "password": "Test@123"}</t>
  </si>
  <si>
    <t>Проверка защиты от SQL-инъекций</t>
  </si>
  <si>
    <t>Безопасность</t>
  </si>
  <si>
    <t>Отправить запрос. метод POST
URL https://api.demoblaze.com/signup
Headers Content-Type: application/json
Body {"username": "'; DROP TABLE users; --", "password": "123"}</t>
  </si>
  <si>
    <t>Сервер ответил 200 OK</t>
  </si>
  <si>
    <t>Проверка защиты от XSS-атак</t>
  </si>
  <si>
    <t>Отправить запрос. Метод POST
URL https://api.demoblaze.com/signup
Headers Content-Type: application/json
Body {"username": "&lt;script&gt;alert(1)&lt;/script&gt;", "password": "123"}</t>
  </si>
  <si>
    <t>Сервер принял запрос, потенциальная XSS)</t>
  </si>
  <si>
    <t>Сервер вернул "This user already exist"</t>
  </si>
  <si>
    <t>Статус-код: 400 Bad Request, {"errorMessage": "Password is required"}</t>
  </si>
  <si>
    <t>Статус-код: 400 Bad Request</t>
  </si>
  <si>
    <t xml:space="preserve">Связные баги </t>
  </si>
  <si>
    <t>Название</t>
  </si>
  <si>
    <t>Серьёзность</t>
  </si>
  <si>
    <t>Компонент</t>
  </si>
  <si>
    <t>Связанные TC</t>
  </si>
  <si>
    <t>Шаги воспроизведения:</t>
  </si>
  <si>
    <t>Фактический результат:</t>
  </si>
  <si>
    <t>Ожидаемый результат:</t>
  </si>
  <si>
    <t xml:space="preserve">Скриншоты </t>
  </si>
  <si>
    <t>Major</t>
  </si>
  <si>
    <t>Открыть Postman.
Отправить POST-запрос на https://api.demoblaze.com/signup с телом:
json
{"username": "", "password": ""}</t>
  </si>
  <si>
    <t>HTTP-статус: 500 Internal Server Error
Сервер упал при обработке пустых полей</t>
  </si>
  <si>
    <t>HTTP-статус: 400 Bad Request
Тело ответа: {"errorMessage": "Username and password are required"}</t>
  </si>
  <si>
    <t>Critical</t>
  </si>
  <si>
    <t>Безопасность / Авторизация</t>
  </si>
  <si>
    <t>Sign up через UI не работает до первого успешного API-запроса</t>
  </si>
  <si>
    <t>Ответ {"errorCode": 0}</t>
  </si>
  <si>
    <t>BUG-01</t>
  </si>
  <si>
    <t>BUG-02</t>
  </si>
  <si>
    <t>BUG-03</t>
  </si>
  <si>
    <t>BUG-04</t>
  </si>
  <si>
    <t>BUG-05</t>
  </si>
  <si>
    <t>BUG-06</t>
  </si>
  <si>
    <t>TC-12</t>
  </si>
  <si>
    <t>POST /signup с пустыми полями вызывает HTTP 500</t>
  </si>
  <si>
    <t>TC-16, TC-22</t>
  </si>
  <si>
    <t>1.Отправить POST /signup с username="", password="" или Отправить запрос. Метод POST
URL https://api.demoblaze.com/signup
Headers Content-Type: application/json
Body {"username": "", "password": "Test@123"}</t>
  </si>
  <si>
    <t>HTTP-статус: 400</t>
  </si>
  <si>
    <t xml:space="preserve">HTTP-статус: 400 </t>
  </si>
  <si>
    <t>POST /signup с пустым password возвращает "This user already exist"</t>
  </si>
  <si>
    <t>POST /signup с пробелами возвращает "This user already exist"</t>
  </si>
  <si>
    <t>TC-24</t>
  </si>
  <si>
    <t>HTTP 400</t>
  </si>
  <si>
    <t>Пустая контактная форма отправляется без ошибок</t>
  </si>
  <si>
    <t>Пустая форма отправляется</t>
  </si>
  <si>
    <t>Невалидный email в Contact пропускается</t>
  </si>
  <si>
    <t>Minor</t>
  </si>
  <si>
    <t>BUG-07</t>
  </si>
  <si>
    <t>BUG-08</t>
  </si>
  <si>
    <t>Сервер принимает SQL-инъекцию без экранирования</t>
  </si>
  <si>
    <t>Сервер принимает XSS-пейлоад без экранирования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</si>
</sst>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A31515"/>
      <name val="Calibri"/>
      <family val="2"/>
      <charset val="204"/>
      <scheme val="minor"/>
    </font>
    <font>
      <sz val="11"/>
      <color rgb="FF0451A5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Font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11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 vertical="center" wrapText="1"/>
    </xf>
    <xf numFmtId="0" fontId="2" fillId="0" borderId="1" xfId="1" applyBorder="1" applyAlignment="1">
      <alignment horizontal="left" vertical="top"/>
    </xf>
    <xf numFmtId="0" fontId="10" fillId="0" borderId="1" xfId="0" applyFont="1" applyFill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wrapText="1"/>
    </xf>
    <xf numFmtId="0" fontId="13" fillId="0" borderId="1" xfId="1" applyFont="1" applyBorder="1" applyAlignment="1">
      <alignment horizontal="left" vertical="top" wrapText="1"/>
    </xf>
    <xf numFmtId="0" fontId="13" fillId="0" borderId="1" xfId="1" applyFont="1" applyBorder="1" applyAlignment="1">
      <alignment wrapText="1"/>
    </xf>
    <xf numFmtId="0" fontId="9" fillId="0" borderId="1" xfId="0" applyFont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91440</xdr:colOff>
      <xdr:row>1</xdr:row>
      <xdr:rowOff>22860</xdr:rowOff>
    </xdr:from>
    <xdr:to>
      <xdr:col>6</xdr:col>
      <xdr:colOff>5173980</xdr:colOff>
      <xdr:row>1</xdr:row>
      <xdr:rowOff>327660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0" t="59106" r="16125" b="36794"/>
        <a:stretch/>
      </xdr:blipFill>
      <xdr:spPr>
        <a:xfrm>
          <a:off x="7040880" y="205740"/>
          <a:ext cx="5082540" cy="304800"/>
        </a:xfrm>
        <a:prstGeom prst="rect">
          <a:avLst/>
        </a:prstGeom>
      </xdr:spPr>
    </xdr:pic>
    <xdr:clientData/>
  </xdr:twoCellAnchor>
  <xdr:twoCellAnchor editAs="oneCell">
    <xdr:from>
      <xdr:col>6</xdr:col>
      <xdr:colOff>1778598</xdr:colOff>
      <xdr:row>1</xdr:row>
      <xdr:rowOff>1226821</xdr:rowOff>
    </xdr:from>
    <xdr:to>
      <xdr:col>6</xdr:col>
      <xdr:colOff>5428578</xdr:colOff>
      <xdr:row>2</xdr:row>
      <xdr:rowOff>732417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72974" y="1406115"/>
          <a:ext cx="3649980" cy="796514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</xdr:colOff>
      <xdr:row>3</xdr:row>
      <xdr:rowOff>7620</xdr:rowOff>
    </xdr:from>
    <xdr:to>
      <xdr:col>6</xdr:col>
      <xdr:colOff>2087880</xdr:colOff>
      <xdr:row>3</xdr:row>
      <xdr:rowOff>2164080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8020" y="2087880"/>
          <a:ext cx="2019300" cy="2156460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</xdr:colOff>
      <xdr:row>4</xdr:row>
      <xdr:rowOff>68580</xdr:rowOff>
    </xdr:from>
    <xdr:to>
      <xdr:col>6</xdr:col>
      <xdr:colOff>6705600</xdr:colOff>
      <xdr:row>4</xdr:row>
      <xdr:rowOff>3215640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69480" y="4366260"/>
          <a:ext cx="6606540" cy="3147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13" zoomScale="85" zoomScaleNormal="85" workbookViewId="0">
      <selection activeCell="G28" sqref="G28"/>
    </sheetView>
  </sheetViews>
  <sheetFormatPr defaultRowHeight="14.4" x14ac:dyDescent="0.3"/>
  <cols>
    <col min="2" max="2" width="12" bestFit="1" customWidth="1"/>
    <col min="3" max="3" width="38.44140625" style="8" bestFit="1" customWidth="1"/>
    <col min="4" max="4" width="32.5546875" style="8" customWidth="1"/>
    <col min="6" max="6" width="27.44140625" style="8" customWidth="1"/>
    <col min="7" max="7" width="100.77734375" customWidth="1"/>
  </cols>
  <sheetData>
    <row r="1" spans="1:7" x14ac:dyDescent="0.3">
      <c r="A1" s="5" t="s">
        <v>0</v>
      </c>
      <c r="B1" s="5" t="s">
        <v>2</v>
      </c>
      <c r="C1" s="6" t="s">
        <v>3</v>
      </c>
      <c r="D1" s="6" t="s">
        <v>4</v>
      </c>
      <c r="E1" s="5" t="s">
        <v>5</v>
      </c>
      <c r="F1" s="6" t="s">
        <v>6</v>
      </c>
      <c r="G1" s="5" t="s">
        <v>14</v>
      </c>
    </row>
    <row r="2" spans="1:7" ht="101.4" customHeight="1" x14ac:dyDescent="0.3">
      <c r="A2" s="10" t="s">
        <v>1</v>
      </c>
      <c r="B2" s="10" t="s">
        <v>7</v>
      </c>
      <c r="C2" s="11" t="s">
        <v>10</v>
      </c>
      <c r="D2" s="11" t="s">
        <v>8</v>
      </c>
      <c r="E2" s="10" t="s">
        <v>9</v>
      </c>
      <c r="F2" s="11" t="s">
        <v>15</v>
      </c>
      <c r="G2" s="10"/>
    </row>
    <row r="3" spans="1:7" s="1" customFormat="1" ht="63" customHeight="1" x14ac:dyDescent="0.3">
      <c r="A3" s="10" t="s">
        <v>11</v>
      </c>
      <c r="B3" s="10" t="s">
        <v>21</v>
      </c>
      <c r="C3" s="11" t="s">
        <v>16</v>
      </c>
      <c r="D3" s="12" t="s">
        <v>17</v>
      </c>
      <c r="E3" s="10" t="s">
        <v>9</v>
      </c>
      <c r="F3" s="11" t="s">
        <v>18</v>
      </c>
      <c r="G3" s="10"/>
    </row>
    <row r="4" spans="1:7" s="2" customFormat="1" ht="174.6" customHeight="1" x14ac:dyDescent="0.3">
      <c r="A4" s="10" t="s">
        <v>12</v>
      </c>
      <c r="B4" s="10" t="s">
        <v>21</v>
      </c>
      <c r="C4" s="11" t="s">
        <v>19</v>
      </c>
      <c r="D4" s="11" t="s">
        <v>20</v>
      </c>
      <c r="E4" s="10" t="s">
        <v>9</v>
      </c>
      <c r="F4" s="11" t="s">
        <v>18</v>
      </c>
      <c r="G4" s="10"/>
    </row>
    <row r="5" spans="1:7" s="1" customFormat="1" ht="255" customHeight="1" x14ac:dyDescent="0.3">
      <c r="A5" s="10" t="s">
        <v>13</v>
      </c>
      <c r="B5" s="10" t="s">
        <v>21</v>
      </c>
      <c r="C5" s="11" t="s">
        <v>22</v>
      </c>
      <c r="D5" s="11" t="s">
        <v>23</v>
      </c>
      <c r="E5" s="10" t="s">
        <v>9</v>
      </c>
      <c r="F5" s="11" t="s">
        <v>24</v>
      </c>
      <c r="G5" s="10"/>
    </row>
    <row r="6" spans="1:7" s="4" customFormat="1" x14ac:dyDescent="0.3">
      <c r="A6" s="10" t="s">
        <v>25</v>
      </c>
      <c r="B6" s="10" t="s">
        <v>21</v>
      </c>
      <c r="C6" s="12" t="s">
        <v>26</v>
      </c>
      <c r="D6" s="12" t="s">
        <v>27</v>
      </c>
      <c r="E6" s="10" t="s">
        <v>9</v>
      </c>
      <c r="F6" s="12" t="s">
        <v>28</v>
      </c>
      <c r="G6" s="13" t="str">
        <f>HYPERLINK("C:\Users\777\Desktop\demoblaze отчеты\2026-06-23_22-55-12.png")</f>
        <v>C:\Users\777\Desktop\demoblaze отчеты\2026-06-23_22-55-12.png</v>
      </c>
    </row>
    <row r="7" spans="1:7" x14ac:dyDescent="0.3">
      <c r="A7" s="10" t="s">
        <v>29</v>
      </c>
      <c r="B7" s="10" t="s">
        <v>21</v>
      </c>
      <c r="C7" s="12" t="s">
        <v>30</v>
      </c>
      <c r="D7" s="11" t="s">
        <v>31</v>
      </c>
      <c r="E7" s="10" t="s">
        <v>9</v>
      </c>
      <c r="F7" s="12" t="s">
        <v>32</v>
      </c>
      <c r="G7" s="13" t="str">
        <f>HYPERLINK("C:\Users\777\Desktop\demoblaze отчеты\2026-06-23_23-02-09.png")</f>
        <v>C:\Users\777\Desktop\demoblaze отчеты\2026-06-23_23-02-09.png</v>
      </c>
    </row>
    <row r="8" spans="1:7" x14ac:dyDescent="0.3">
      <c r="A8" s="10" t="s">
        <v>33</v>
      </c>
      <c r="B8" s="10" t="s">
        <v>21</v>
      </c>
      <c r="C8" s="11" t="s">
        <v>34</v>
      </c>
      <c r="D8" s="11" t="s">
        <v>35</v>
      </c>
      <c r="E8" s="10" t="s">
        <v>9</v>
      </c>
      <c r="F8" s="11" t="s">
        <v>36</v>
      </c>
      <c r="G8" s="13" t="str">
        <f>HYPERLINK("C:\Users\777\Desktop\demoblaze отчеты\2026-06-23_23-07-15.png")</f>
        <v>C:\Users\777\Desktop\demoblaze отчеты\2026-06-23_23-07-15.png</v>
      </c>
    </row>
    <row r="9" spans="1:7" s="5" customFormat="1" ht="28.8" x14ac:dyDescent="0.3">
      <c r="A9" s="10" t="s">
        <v>37</v>
      </c>
      <c r="B9" s="10" t="s">
        <v>21</v>
      </c>
      <c r="C9" s="12" t="s">
        <v>38</v>
      </c>
      <c r="D9" s="11" t="s">
        <v>39</v>
      </c>
      <c r="E9" s="10" t="s">
        <v>9</v>
      </c>
      <c r="F9" s="12" t="s">
        <v>40</v>
      </c>
      <c r="G9" s="13" t="str">
        <f>HYPERLINK("C:\Users\777\Desktop\demoblaze отчеты\2026-06-23_23-12-02.png")</f>
        <v>C:\Users\777\Desktop\demoblaze отчеты\2026-06-23_23-12-02.png</v>
      </c>
    </row>
    <row r="10" spans="1:7" s="3" customFormat="1" ht="43.2" x14ac:dyDescent="0.3">
      <c r="A10" s="10" t="s">
        <v>41</v>
      </c>
      <c r="B10" s="10" t="s">
        <v>42</v>
      </c>
      <c r="C10" s="11" t="s">
        <v>43</v>
      </c>
      <c r="D10" s="11" t="s">
        <v>44</v>
      </c>
      <c r="E10" s="10" t="s">
        <v>9</v>
      </c>
      <c r="F10" s="11" t="s">
        <v>45</v>
      </c>
      <c r="G10" s="13" t="str">
        <f>HYPERLINK("C:\Users\777\Desktop\demoblaze отчеты\2026-06-23_23-15-53.png")</f>
        <v>C:\Users\777\Desktop\demoblaze отчеты\2026-06-23_23-15-53.png</v>
      </c>
    </row>
    <row r="11" spans="1:7" s="3" customFormat="1" ht="28.8" x14ac:dyDescent="0.3">
      <c r="A11" s="10" t="s">
        <v>46</v>
      </c>
      <c r="B11" s="10" t="s">
        <v>42</v>
      </c>
      <c r="C11" s="12" t="s">
        <v>47</v>
      </c>
      <c r="D11" s="12" t="s">
        <v>48</v>
      </c>
      <c r="E11" s="10" t="s">
        <v>9</v>
      </c>
      <c r="F11" s="12" t="s">
        <v>49</v>
      </c>
      <c r="G11" s="13" t="str">
        <f>HYPERLINK("C:\Users\777\Desktop\demoblaze отчеты\2026-06-23_23-24-22.png")</f>
        <v>C:\Users\777\Desktop\demoblaze отчеты\2026-06-23_23-24-22.png</v>
      </c>
    </row>
    <row r="12" spans="1:7" ht="28.8" x14ac:dyDescent="0.3">
      <c r="A12" s="10" t="s">
        <v>50</v>
      </c>
      <c r="B12" s="10" t="s">
        <v>42</v>
      </c>
      <c r="C12" s="12" t="s">
        <v>51</v>
      </c>
      <c r="D12" s="12" t="s">
        <v>52</v>
      </c>
      <c r="E12" s="10" t="s">
        <v>9</v>
      </c>
      <c r="F12" s="12" t="s">
        <v>53</v>
      </c>
      <c r="G12" s="13" t="str">
        <f>HYPERLINK("C:\Users\777\Desktop\demoblaze отчеты\signupdemoblaze.png")</f>
        <v>C:\Users\777\Desktop\demoblaze отчеты\signupdemoblaze.png</v>
      </c>
    </row>
    <row r="13" spans="1:7" ht="57.6" x14ac:dyDescent="0.3">
      <c r="A13" s="10" t="s">
        <v>54</v>
      </c>
      <c r="B13" s="10" t="s">
        <v>55</v>
      </c>
      <c r="C13" s="11" t="s">
        <v>56</v>
      </c>
      <c r="D13" s="11" t="s">
        <v>67</v>
      </c>
      <c r="E13" s="10" t="s">
        <v>59</v>
      </c>
      <c r="F13" s="11" t="s">
        <v>58</v>
      </c>
      <c r="G13" s="13" t="str">
        <f>HYPERLINK("C:\Users\777\Desktop\demoblaze отчеты\2026-06-23_23-24-22.png")</f>
        <v>C:\Users\777\Desktop\demoblaze отчеты\2026-06-23_23-24-22.png</v>
      </c>
    </row>
    <row r="14" spans="1:7" ht="43.2" x14ac:dyDescent="0.3">
      <c r="A14" s="10" t="s">
        <v>60</v>
      </c>
      <c r="B14" s="10" t="s">
        <v>55</v>
      </c>
      <c r="C14" s="11" t="s">
        <v>66</v>
      </c>
      <c r="D14" s="11" t="s">
        <v>57</v>
      </c>
      <c r="E14" s="10" t="s">
        <v>9</v>
      </c>
      <c r="F14" s="11" t="s">
        <v>68</v>
      </c>
      <c r="G14" s="10"/>
    </row>
    <row r="15" spans="1:7" x14ac:dyDescent="0.3">
      <c r="A15" s="10" t="s">
        <v>61</v>
      </c>
      <c r="B15" s="10" t="s">
        <v>55</v>
      </c>
      <c r="C15" s="11" t="s">
        <v>69</v>
      </c>
      <c r="D15" s="11" t="s">
        <v>70</v>
      </c>
      <c r="E15" s="10" t="s">
        <v>9</v>
      </c>
      <c r="F15" s="11" t="s">
        <v>68</v>
      </c>
      <c r="G15" s="10"/>
    </row>
    <row r="16" spans="1:7" x14ac:dyDescent="0.3">
      <c r="A16" s="10" t="s">
        <v>62</v>
      </c>
      <c r="B16" s="10" t="s">
        <v>55</v>
      </c>
      <c r="C16" s="11" t="s">
        <v>71</v>
      </c>
      <c r="D16" s="11" t="s">
        <v>72</v>
      </c>
      <c r="E16" s="10" t="s">
        <v>9</v>
      </c>
      <c r="F16" s="11" t="s">
        <v>73</v>
      </c>
      <c r="G16" s="10"/>
    </row>
    <row r="17" spans="1:7" ht="43.2" x14ac:dyDescent="0.3">
      <c r="A17" s="10" t="s">
        <v>63</v>
      </c>
      <c r="B17" s="14" t="s">
        <v>55</v>
      </c>
      <c r="C17" s="15" t="s">
        <v>75</v>
      </c>
      <c r="D17" s="15" t="s">
        <v>74</v>
      </c>
      <c r="E17" s="14" t="s">
        <v>59</v>
      </c>
      <c r="F17" s="15" t="s">
        <v>76</v>
      </c>
      <c r="G17" s="28" t="str">
        <f>HYPERLINK("C:\Users\777\Desktop\demoblaze отчеты\500.png")</f>
        <v>C:\Users\777\Desktop\demoblaze отчеты\500.png</v>
      </c>
    </row>
    <row r="18" spans="1:7" ht="28.8" x14ac:dyDescent="0.3">
      <c r="A18" s="10" t="s">
        <v>64</v>
      </c>
      <c r="B18" s="14" t="s">
        <v>55</v>
      </c>
      <c r="C18" s="15" t="s">
        <v>79</v>
      </c>
      <c r="D18" s="15" t="s">
        <v>77</v>
      </c>
      <c r="E18" s="14" t="s">
        <v>59</v>
      </c>
      <c r="F18" s="15" t="s">
        <v>78</v>
      </c>
      <c r="G18" s="13" t="str">
        <f>HYPERLINK("C:\Users\777\Desktop\demoblaze отчеты\2026-06-24_12-58-45.png")</f>
        <v>C:\Users\777\Desktop\demoblaze отчеты\2026-06-24_12-58-45.png</v>
      </c>
    </row>
    <row r="19" spans="1:7" ht="28.8" x14ac:dyDescent="0.3">
      <c r="A19" s="10" t="s">
        <v>65</v>
      </c>
      <c r="B19" s="14" t="s">
        <v>55</v>
      </c>
      <c r="C19" s="15" t="s">
        <v>80</v>
      </c>
      <c r="D19" s="15" t="s">
        <v>81</v>
      </c>
      <c r="E19" s="14" t="s">
        <v>9</v>
      </c>
      <c r="F19" s="15" t="s">
        <v>78</v>
      </c>
      <c r="G19" s="13" t="str">
        <f>HYPERLINK("C:\Users\777\Desktop\demoblaze отчеты\2026-06-24_12-58-45.png")</f>
        <v>C:\Users\777\Desktop\demoblaze отчеты\2026-06-24_12-58-45.png</v>
      </c>
    </row>
    <row r="20" spans="1:7" ht="28.8" x14ac:dyDescent="0.3">
      <c r="A20" s="10" t="s">
        <v>82</v>
      </c>
      <c r="B20" s="14" t="s">
        <v>55</v>
      </c>
      <c r="C20" s="15" t="s">
        <v>87</v>
      </c>
      <c r="D20" s="15" t="s">
        <v>77</v>
      </c>
      <c r="E20" s="14" t="s">
        <v>59</v>
      </c>
      <c r="F20" s="15" t="s">
        <v>78</v>
      </c>
      <c r="G20" s="28" t="str">
        <f>HYPERLINK("C:\Users\777\Desktop\demoblaze отчеты\2026-06-24_12-58-45.png")</f>
        <v>C:\Users\777\Desktop\demoblaze отчеты\2026-06-24_12-58-45.png</v>
      </c>
    </row>
    <row r="21" spans="1:7" ht="28.8" x14ac:dyDescent="0.3">
      <c r="A21" s="10" t="s">
        <v>83</v>
      </c>
      <c r="B21" s="14" t="s">
        <v>55</v>
      </c>
      <c r="C21" s="15" t="s">
        <v>88</v>
      </c>
      <c r="D21" s="15" t="s">
        <v>89</v>
      </c>
      <c r="E21" s="14" t="s">
        <v>9</v>
      </c>
      <c r="F21" s="15" t="s">
        <v>90</v>
      </c>
      <c r="G21" s="13" t="str">
        <f>HYPERLINK("C:\Users\777\Desktop\demoblaze отчеты\2026-06-24_13-19-45.png")</f>
        <v>C:\Users\777\Desktop\demoblaze отчеты\2026-06-24_13-19-45.png</v>
      </c>
    </row>
    <row r="22" spans="1:7" ht="28.8" x14ac:dyDescent="0.3">
      <c r="A22" s="10" t="s">
        <v>84</v>
      </c>
      <c r="B22" s="14" t="s">
        <v>55</v>
      </c>
      <c r="C22" s="15" t="s">
        <v>91</v>
      </c>
      <c r="D22" s="15" t="s">
        <v>95</v>
      </c>
      <c r="E22" s="14" t="s">
        <v>9</v>
      </c>
      <c r="F22" s="15" t="s">
        <v>95</v>
      </c>
      <c r="G22" s="13" t="str">
        <f>HYPERLINK("C:\Users\777\Desktop\demoblaze отчеты\2026-06-24_13-22-10.png")</f>
        <v>C:\Users\777\Desktop\demoblaze отчеты\2026-06-24_13-22-10.png</v>
      </c>
    </row>
    <row r="23" spans="1:7" ht="28.8" x14ac:dyDescent="0.3">
      <c r="A23" s="10" t="s">
        <v>85</v>
      </c>
      <c r="B23" s="14" t="s">
        <v>55</v>
      </c>
      <c r="C23" s="15" t="s">
        <v>92</v>
      </c>
      <c r="D23" s="15" t="s">
        <v>93</v>
      </c>
      <c r="E23" s="14" t="s">
        <v>59</v>
      </c>
      <c r="F23" s="16" t="s">
        <v>94</v>
      </c>
      <c r="G23" s="13" t="str">
        <f>HYPERLINK("C:\Users\777\Desktop\demoblaze отчеты\2026-06-24_13-26-49.png")</f>
        <v>C:\Users\777\Desktop\demoblaze отчеты\2026-06-24_13-26-49.png</v>
      </c>
    </row>
    <row r="24" spans="1:7" ht="28.8" x14ac:dyDescent="0.3">
      <c r="A24" s="10" t="s">
        <v>86</v>
      </c>
      <c r="B24" s="10" t="s">
        <v>55</v>
      </c>
      <c r="C24" s="11" t="s">
        <v>96</v>
      </c>
      <c r="D24" s="11" t="s">
        <v>97</v>
      </c>
      <c r="E24" s="14" t="s">
        <v>59</v>
      </c>
      <c r="F24" s="17" t="s">
        <v>108</v>
      </c>
      <c r="G24" s="13" t="str">
        <f>HYPERLINK("C:\Users\777\Desktop\demoblaze отчеты\2026-06-24_13-29-58.png")</f>
        <v>C:\Users\777\Desktop\demoblaze отчеты\2026-06-24_13-29-58.png</v>
      </c>
    </row>
    <row r="25" spans="1:7" ht="28.8" x14ac:dyDescent="0.3">
      <c r="A25" s="10" t="s">
        <v>98</v>
      </c>
      <c r="B25" s="10" t="s">
        <v>55</v>
      </c>
      <c r="C25" s="11" t="s">
        <v>102</v>
      </c>
      <c r="D25" s="11" t="s">
        <v>103</v>
      </c>
      <c r="E25" s="14" t="s">
        <v>59</v>
      </c>
      <c r="F25" s="17" t="s">
        <v>108</v>
      </c>
      <c r="G25" s="28" t="str">
        <f>HYPERLINK("C:\Users\777\Desktop\demoblaze отчеты\2026-06-24_13-32-14.png")</f>
        <v>C:\Users\777\Desktop\demoblaze отчеты\2026-06-24_13-32-14.png</v>
      </c>
    </row>
    <row r="26" spans="1:7" x14ac:dyDescent="0.3">
      <c r="A26" s="10" t="s">
        <v>99</v>
      </c>
      <c r="B26" s="10" t="s">
        <v>55</v>
      </c>
      <c r="C26" s="11" t="s">
        <v>104</v>
      </c>
      <c r="D26" s="11" t="s">
        <v>103</v>
      </c>
      <c r="E26" s="14" t="s">
        <v>9</v>
      </c>
      <c r="F26" s="11" t="s">
        <v>103</v>
      </c>
      <c r="G26" s="13" t="str">
        <f>HYPERLINK("C:\Users\777\Desktop\demoblaze отчеты\2026-06-24_13-40-35.png")</f>
        <v>C:\Users\777\Desktop\demoblaze отчеты\2026-06-24_13-40-35.png</v>
      </c>
    </row>
    <row r="27" spans="1:7" x14ac:dyDescent="0.3">
      <c r="A27" s="10" t="s">
        <v>100</v>
      </c>
      <c r="B27" s="10" t="s">
        <v>55</v>
      </c>
      <c r="C27" s="11" t="s">
        <v>105</v>
      </c>
      <c r="D27" s="18" t="s">
        <v>106</v>
      </c>
      <c r="E27" s="14" t="s">
        <v>59</v>
      </c>
      <c r="F27" s="11" t="s">
        <v>90</v>
      </c>
      <c r="G27" s="28" t="str">
        <f>HYPERLINK("C:\Users\777\Desktop\demoblaze отчеты\2026-06-24_13-42-45.png")</f>
        <v>C:\Users\777\Desktop\demoblaze отчеты\2026-06-24_13-42-45.png</v>
      </c>
    </row>
    <row r="28" spans="1:7" ht="28.8" x14ac:dyDescent="0.3">
      <c r="A28" s="10" t="s">
        <v>101</v>
      </c>
      <c r="B28" s="10" t="s">
        <v>55</v>
      </c>
      <c r="C28" s="11" t="s">
        <v>107</v>
      </c>
      <c r="D28" s="18" t="s">
        <v>106</v>
      </c>
      <c r="E28" s="14" t="s">
        <v>59</v>
      </c>
      <c r="F28" s="17" t="s">
        <v>108</v>
      </c>
      <c r="G28" s="28" t="str">
        <f>HYPERLINK("C:\Users\777\Desktop\demoblaze отчеты\2026-06-24_14-09-22.png")</f>
        <v>C:\Users\777\Desktop\demoblaze отчеты\2026-06-24_14-09-22.png</v>
      </c>
    </row>
    <row r="29" spans="1:7" x14ac:dyDescent="0.3">
      <c r="A29" s="5"/>
      <c r="B29" s="7"/>
      <c r="C29" s="9"/>
      <c r="D29" s="9"/>
      <c r="E29" s="7"/>
      <c r="F29" s="9"/>
      <c r="G29" s="7"/>
    </row>
    <row r="30" spans="1:7" x14ac:dyDescent="0.3">
      <c r="A30" s="3"/>
    </row>
    <row r="31" spans="1:7" x14ac:dyDescent="0.3">
      <c r="A31" s="3"/>
    </row>
    <row r="32" spans="1:7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A26" zoomScale="85" zoomScaleNormal="85" workbookViewId="0">
      <selection activeCell="C28" sqref="C28"/>
    </sheetView>
  </sheetViews>
  <sheetFormatPr defaultRowHeight="14.4" x14ac:dyDescent="0.3"/>
  <cols>
    <col min="2" max="2" width="28.6640625" style="8" bestFit="1" customWidth="1"/>
    <col min="3" max="3" width="19.109375" style="19" customWidth="1"/>
    <col min="4" max="4" width="28" customWidth="1"/>
    <col min="5" max="5" width="31.77734375" style="8" customWidth="1"/>
    <col min="6" max="6" width="25.5546875" style="8" bestFit="1" customWidth="1"/>
    <col min="7" max="7" width="19.77734375" style="8" customWidth="1"/>
    <col min="8" max="9" width="10.5546875" bestFit="1" customWidth="1"/>
  </cols>
  <sheetData>
    <row r="1" spans="1:10" ht="31.2" x14ac:dyDescent="0.3">
      <c r="A1" s="22" t="s">
        <v>0</v>
      </c>
      <c r="B1" s="22" t="s">
        <v>109</v>
      </c>
      <c r="C1" s="23" t="s">
        <v>111</v>
      </c>
      <c r="D1" s="22" t="s">
        <v>112</v>
      </c>
      <c r="E1" s="22" t="s">
        <v>113</v>
      </c>
      <c r="F1" s="22" t="s">
        <v>4</v>
      </c>
      <c r="G1" s="22" t="s">
        <v>178</v>
      </c>
      <c r="H1" s="22" t="s">
        <v>114</v>
      </c>
      <c r="I1" s="22" t="s">
        <v>110</v>
      </c>
      <c r="J1" s="22" t="s">
        <v>262</v>
      </c>
    </row>
    <row r="2" spans="1:10" s="2" customFormat="1" ht="124.8" x14ac:dyDescent="0.3">
      <c r="A2" s="24" t="s">
        <v>115</v>
      </c>
      <c r="B2" s="24" t="s">
        <v>116</v>
      </c>
      <c r="C2" s="24" t="s">
        <v>117</v>
      </c>
      <c r="D2" s="24" t="s">
        <v>118</v>
      </c>
      <c r="E2" s="24" t="s">
        <v>119</v>
      </c>
      <c r="F2" s="24" t="s">
        <v>120</v>
      </c>
      <c r="G2" s="24" t="s">
        <v>120</v>
      </c>
      <c r="H2" s="24" t="s">
        <v>121</v>
      </c>
      <c r="I2" s="24" t="s">
        <v>122</v>
      </c>
      <c r="J2" s="24"/>
    </row>
    <row r="3" spans="1:10" ht="109.2" x14ac:dyDescent="0.3">
      <c r="A3" s="22" t="s">
        <v>123</v>
      </c>
      <c r="B3" s="22" t="s">
        <v>131</v>
      </c>
      <c r="C3" s="22" t="s">
        <v>21</v>
      </c>
      <c r="D3" s="22" t="s">
        <v>132</v>
      </c>
      <c r="E3" s="22" t="s">
        <v>133</v>
      </c>
      <c r="F3" s="22" t="s">
        <v>134</v>
      </c>
      <c r="G3" s="22" t="s">
        <v>134</v>
      </c>
      <c r="H3" s="24" t="s">
        <v>121</v>
      </c>
      <c r="I3" s="24" t="s">
        <v>122</v>
      </c>
      <c r="J3" s="22"/>
    </row>
    <row r="4" spans="1:10" ht="62.4" x14ac:dyDescent="0.3">
      <c r="A4" s="22" t="s">
        <v>124</v>
      </c>
      <c r="B4" s="22" t="s">
        <v>135</v>
      </c>
      <c r="C4" s="22" t="s">
        <v>21</v>
      </c>
      <c r="D4" s="22" t="s">
        <v>132</v>
      </c>
      <c r="E4" s="22" t="s">
        <v>136</v>
      </c>
      <c r="F4" s="22" t="s">
        <v>137</v>
      </c>
      <c r="G4" s="22" t="s">
        <v>137</v>
      </c>
      <c r="H4" s="24" t="s">
        <v>121</v>
      </c>
      <c r="I4" s="24" t="s">
        <v>122</v>
      </c>
      <c r="J4" s="22"/>
    </row>
    <row r="5" spans="1:10" ht="78" x14ac:dyDescent="0.3">
      <c r="A5" s="22" t="s">
        <v>125</v>
      </c>
      <c r="B5" s="22" t="s">
        <v>138</v>
      </c>
      <c r="C5" s="22" t="s">
        <v>21</v>
      </c>
      <c r="D5" s="22" t="s">
        <v>132</v>
      </c>
      <c r="E5" s="22" t="s">
        <v>139</v>
      </c>
      <c r="F5" s="22" t="s">
        <v>140</v>
      </c>
      <c r="G5" s="22" t="s">
        <v>140</v>
      </c>
      <c r="H5" s="24" t="s">
        <v>121</v>
      </c>
      <c r="I5" s="24" t="s">
        <v>122</v>
      </c>
      <c r="J5" s="22"/>
    </row>
    <row r="6" spans="1:10" ht="109.2" x14ac:dyDescent="0.3">
      <c r="A6" s="22" t="s">
        <v>126</v>
      </c>
      <c r="B6" s="22" t="s">
        <v>141</v>
      </c>
      <c r="C6" s="23" t="s">
        <v>142</v>
      </c>
      <c r="D6" s="22" t="s">
        <v>132</v>
      </c>
      <c r="E6" s="22" t="s">
        <v>143</v>
      </c>
      <c r="F6" s="22" t="s">
        <v>144</v>
      </c>
      <c r="G6" s="22" t="s">
        <v>144</v>
      </c>
      <c r="H6" s="24" t="s">
        <v>121</v>
      </c>
      <c r="I6" s="24" t="s">
        <v>148</v>
      </c>
      <c r="J6" s="22"/>
    </row>
    <row r="7" spans="1:10" ht="62.4" x14ac:dyDescent="0.3">
      <c r="A7" s="22" t="s">
        <v>127</v>
      </c>
      <c r="B7" s="22" t="s">
        <v>145</v>
      </c>
      <c r="C7" s="23" t="s">
        <v>142</v>
      </c>
      <c r="D7" s="22" t="s">
        <v>132</v>
      </c>
      <c r="E7" s="22" t="s">
        <v>146</v>
      </c>
      <c r="F7" s="22" t="s">
        <v>147</v>
      </c>
      <c r="G7" s="22" t="s">
        <v>147</v>
      </c>
      <c r="H7" s="24" t="s">
        <v>121</v>
      </c>
      <c r="I7" s="24" t="s">
        <v>122</v>
      </c>
      <c r="J7" s="22"/>
    </row>
    <row r="8" spans="1:10" ht="62.4" x14ac:dyDescent="0.3">
      <c r="A8" s="22" t="s">
        <v>128</v>
      </c>
      <c r="B8" s="22" t="s">
        <v>149</v>
      </c>
      <c r="C8" s="23" t="s">
        <v>142</v>
      </c>
      <c r="D8" s="22" t="s">
        <v>132</v>
      </c>
      <c r="E8" s="22" t="s">
        <v>150</v>
      </c>
      <c r="F8" s="22" t="s">
        <v>151</v>
      </c>
      <c r="G8" s="22" t="s">
        <v>151</v>
      </c>
      <c r="H8" s="24" t="s">
        <v>121</v>
      </c>
      <c r="I8" s="24" t="s">
        <v>122</v>
      </c>
      <c r="J8" s="22"/>
    </row>
    <row r="9" spans="1:10" ht="78" x14ac:dyDescent="0.3">
      <c r="A9" s="22" t="s">
        <v>129</v>
      </c>
      <c r="B9" s="22" t="s">
        <v>152</v>
      </c>
      <c r="C9" s="22" t="s">
        <v>153</v>
      </c>
      <c r="D9" s="22" t="s">
        <v>132</v>
      </c>
      <c r="E9" s="22" t="s">
        <v>154</v>
      </c>
      <c r="F9" s="22" t="s">
        <v>155</v>
      </c>
      <c r="G9" s="22" t="s">
        <v>155</v>
      </c>
      <c r="H9" s="24" t="s">
        <v>121</v>
      </c>
      <c r="I9" s="22" t="s">
        <v>156</v>
      </c>
      <c r="J9" s="22"/>
    </row>
    <row r="10" spans="1:10" ht="124.8" x14ac:dyDescent="0.3">
      <c r="A10" s="22" t="s">
        <v>130</v>
      </c>
      <c r="B10" s="22" t="s">
        <v>157</v>
      </c>
      <c r="C10" s="22" t="s">
        <v>153</v>
      </c>
      <c r="D10" s="22" t="s">
        <v>132</v>
      </c>
      <c r="E10" s="22" t="s">
        <v>158</v>
      </c>
      <c r="F10" s="22" t="s">
        <v>159</v>
      </c>
      <c r="G10" s="22" t="s">
        <v>159</v>
      </c>
      <c r="H10" s="24" t="s">
        <v>121</v>
      </c>
      <c r="I10" s="22" t="s">
        <v>156</v>
      </c>
      <c r="J10" s="22"/>
    </row>
    <row r="11" spans="1:10" ht="78" x14ac:dyDescent="0.3">
      <c r="A11" s="22" t="s">
        <v>160</v>
      </c>
      <c r="B11" s="22" t="s">
        <v>167</v>
      </c>
      <c r="C11" s="22" t="s">
        <v>168</v>
      </c>
      <c r="D11" s="22" t="s">
        <v>132</v>
      </c>
      <c r="E11" s="22" t="s">
        <v>169</v>
      </c>
      <c r="F11" s="22" t="s">
        <v>170</v>
      </c>
      <c r="G11" s="22" t="s">
        <v>170</v>
      </c>
      <c r="H11" s="24" t="s">
        <v>121</v>
      </c>
      <c r="I11" s="22" t="s">
        <v>122</v>
      </c>
      <c r="J11" s="22"/>
    </row>
    <row r="12" spans="1:10" ht="93.6" x14ac:dyDescent="0.3">
      <c r="A12" s="22" t="s">
        <v>161</v>
      </c>
      <c r="B12" s="22" t="s">
        <v>171</v>
      </c>
      <c r="C12" s="22" t="s">
        <v>168</v>
      </c>
      <c r="D12" s="22" t="s">
        <v>172</v>
      </c>
      <c r="E12" s="22" t="s">
        <v>173</v>
      </c>
      <c r="F12" s="22" t="s">
        <v>174</v>
      </c>
      <c r="G12" s="22" t="s">
        <v>174</v>
      </c>
      <c r="H12" s="24" t="s">
        <v>121</v>
      </c>
      <c r="I12" s="22" t="s">
        <v>122</v>
      </c>
      <c r="J12" s="22"/>
    </row>
    <row r="13" spans="1:10" ht="62.4" x14ac:dyDescent="0.3">
      <c r="A13" s="22" t="s">
        <v>162</v>
      </c>
      <c r="B13" s="22" t="s">
        <v>175</v>
      </c>
      <c r="C13" s="22" t="s">
        <v>176</v>
      </c>
      <c r="D13" s="22" t="s">
        <v>180</v>
      </c>
      <c r="E13" s="22" t="s">
        <v>177</v>
      </c>
      <c r="F13" s="22" t="s">
        <v>179</v>
      </c>
      <c r="G13" s="22" t="s">
        <v>181</v>
      </c>
      <c r="H13" s="22" t="s">
        <v>182</v>
      </c>
      <c r="I13" s="22" t="s">
        <v>122</v>
      </c>
      <c r="J13" s="22"/>
    </row>
    <row r="14" spans="1:10" ht="46.8" x14ac:dyDescent="0.3">
      <c r="A14" s="22" t="s">
        <v>163</v>
      </c>
      <c r="B14" s="22" t="s">
        <v>183</v>
      </c>
      <c r="C14" s="22" t="s">
        <v>176</v>
      </c>
      <c r="D14" s="22" t="s">
        <v>184</v>
      </c>
      <c r="E14" s="22" t="s">
        <v>177</v>
      </c>
      <c r="F14" s="22" t="s">
        <v>185</v>
      </c>
      <c r="G14" s="22" t="s">
        <v>186</v>
      </c>
      <c r="H14" s="24" t="s">
        <v>121</v>
      </c>
      <c r="I14" s="22" t="s">
        <v>122</v>
      </c>
      <c r="J14" s="22"/>
    </row>
    <row r="15" spans="1:10" ht="46.8" x14ac:dyDescent="0.3">
      <c r="A15" s="22" t="s">
        <v>164</v>
      </c>
      <c r="B15" s="22" t="s">
        <v>187</v>
      </c>
      <c r="C15" s="22" t="s">
        <v>188</v>
      </c>
      <c r="D15" s="22" t="s">
        <v>189</v>
      </c>
      <c r="E15" s="22" t="s">
        <v>190</v>
      </c>
      <c r="F15" s="22" t="s">
        <v>278</v>
      </c>
      <c r="G15" s="22" t="s">
        <v>191</v>
      </c>
      <c r="H15" s="24" t="s">
        <v>121</v>
      </c>
      <c r="I15" s="22" t="s">
        <v>122</v>
      </c>
      <c r="J15" s="22"/>
    </row>
    <row r="16" spans="1:10" ht="46.8" x14ac:dyDescent="0.3">
      <c r="A16" s="22" t="s">
        <v>165</v>
      </c>
      <c r="B16" s="25" t="s">
        <v>192</v>
      </c>
      <c r="C16" s="22" t="s">
        <v>176</v>
      </c>
      <c r="D16" s="22" t="s">
        <v>205</v>
      </c>
      <c r="E16" s="22" t="s">
        <v>193</v>
      </c>
      <c r="F16" s="22" t="s">
        <v>194</v>
      </c>
      <c r="G16" s="22" t="s">
        <v>195</v>
      </c>
      <c r="H16" s="24" t="s">
        <v>121</v>
      </c>
      <c r="I16" s="22" t="s">
        <v>122</v>
      </c>
      <c r="J16" s="22"/>
    </row>
    <row r="17" spans="1:10" ht="46.8" x14ac:dyDescent="0.3">
      <c r="A17" s="22" t="s">
        <v>166</v>
      </c>
      <c r="B17" s="22" t="s">
        <v>204</v>
      </c>
      <c r="C17" s="22" t="s">
        <v>206</v>
      </c>
      <c r="D17" s="22" t="s">
        <v>207</v>
      </c>
      <c r="E17" s="22" t="s">
        <v>208</v>
      </c>
      <c r="F17" s="22" t="s">
        <v>209</v>
      </c>
      <c r="G17" s="22" t="s">
        <v>210</v>
      </c>
      <c r="H17" s="26" t="s">
        <v>182</v>
      </c>
      <c r="I17" s="22" t="s">
        <v>122</v>
      </c>
      <c r="J17" s="22" t="s">
        <v>211</v>
      </c>
    </row>
    <row r="18" spans="1:10" ht="31.2" x14ac:dyDescent="0.3">
      <c r="A18" s="22" t="s">
        <v>196</v>
      </c>
      <c r="B18" s="22" t="s">
        <v>212</v>
      </c>
      <c r="C18" s="22" t="s">
        <v>213</v>
      </c>
      <c r="D18" s="22" t="s">
        <v>214</v>
      </c>
      <c r="E18" s="22" t="s">
        <v>215</v>
      </c>
      <c r="F18" s="22" t="s">
        <v>218</v>
      </c>
      <c r="G18" s="22" t="s">
        <v>219</v>
      </c>
      <c r="H18" s="24" t="s">
        <v>121</v>
      </c>
      <c r="I18" s="22" t="s">
        <v>156</v>
      </c>
      <c r="J18" s="22" t="s">
        <v>216</v>
      </c>
    </row>
    <row r="19" spans="1:10" ht="46.8" x14ac:dyDescent="0.3">
      <c r="A19" s="22" t="s">
        <v>197</v>
      </c>
      <c r="B19" s="22" t="s">
        <v>217</v>
      </c>
      <c r="C19" s="22" t="s">
        <v>213</v>
      </c>
      <c r="D19" s="22" t="s">
        <v>214</v>
      </c>
      <c r="E19" s="22" t="s">
        <v>220</v>
      </c>
      <c r="F19" s="22" t="s">
        <v>221</v>
      </c>
      <c r="G19" s="22" t="s">
        <v>221</v>
      </c>
      <c r="H19" s="24" t="s">
        <v>121</v>
      </c>
      <c r="I19" s="22" t="s">
        <v>156</v>
      </c>
      <c r="J19" s="22"/>
    </row>
    <row r="20" spans="1:10" ht="46.8" x14ac:dyDescent="0.3">
      <c r="A20" s="22" t="s">
        <v>198</v>
      </c>
      <c r="B20" s="22" t="s">
        <v>222</v>
      </c>
      <c r="C20" s="22" t="s">
        <v>213</v>
      </c>
      <c r="D20" s="22" t="s">
        <v>214</v>
      </c>
      <c r="E20" s="22" t="s">
        <v>223</v>
      </c>
      <c r="F20" s="22" t="s">
        <v>224</v>
      </c>
      <c r="G20" s="22" t="s">
        <v>219</v>
      </c>
      <c r="H20" s="26" t="s">
        <v>182</v>
      </c>
      <c r="I20" s="22" t="s">
        <v>156</v>
      </c>
      <c r="J20" s="22" t="s">
        <v>225</v>
      </c>
    </row>
    <row r="21" spans="1:10" ht="62.4" x14ac:dyDescent="0.3">
      <c r="A21" s="22" t="s">
        <v>199</v>
      </c>
      <c r="B21" s="22" t="s">
        <v>226</v>
      </c>
      <c r="C21" s="22" t="s">
        <v>188</v>
      </c>
      <c r="D21" s="22" t="s">
        <v>229</v>
      </c>
      <c r="E21" s="22" t="s">
        <v>227</v>
      </c>
      <c r="F21" s="22" t="s">
        <v>228</v>
      </c>
      <c r="G21" s="22" t="s">
        <v>228</v>
      </c>
      <c r="H21" s="22" t="s">
        <v>121</v>
      </c>
      <c r="I21" s="22" t="s">
        <v>122</v>
      </c>
      <c r="J21" s="22"/>
    </row>
    <row r="22" spans="1:10" ht="156" x14ac:dyDescent="0.3">
      <c r="A22" s="22" t="s">
        <v>200</v>
      </c>
      <c r="B22" s="22" t="s">
        <v>230</v>
      </c>
      <c r="C22" s="22" t="s">
        <v>231</v>
      </c>
      <c r="D22" s="22" t="s">
        <v>232</v>
      </c>
      <c r="E22" s="22" t="s">
        <v>234</v>
      </c>
      <c r="F22" s="22" t="s">
        <v>233</v>
      </c>
      <c r="G22" s="22" t="s">
        <v>233</v>
      </c>
      <c r="H22" s="22" t="s">
        <v>121</v>
      </c>
      <c r="I22" s="22" t="s">
        <v>122</v>
      </c>
      <c r="J22" s="22"/>
    </row>
    <row r="23" spans="1:10" ht="124.8" x14ac:dyDescent="0.3">
      <c r="A23" s="22" t="s">
        <v>201</v>
      </c>
      <c r="B23" s="22" t="s">
        <v>235</v>
      </c>
      <c r="C23" s="22" t="s">
        <v>206</v>
      </c>
      <c r="D23" s="22" t="s">
        <v>236</v>
      </c>
      <c r="E23" s="22" t="s">
        <v>237</v>
      </c>
      <c r="F23" s="22" t="s">
        <v>238</v>
      </c>
      <c r="G23" s="22" t="s">
        <v>239</v>
      </c>
      <c r="H23" s="22" t="s">
        <v>182</v>
      </c>
      <c r="I23" s="22" t="s">
        <v>122</v>
      </c>
      <c r="J23" s="22" t="s">
        <v>240</v>
      </c>
    </row>
    <row r="24" spans="1:10" ht="140.4" x14ac:dyDescent="0.3">
      <c r="A24" s="22" t="s">
        <v>202</v>
      </c>
      <c r="B24" s="27" t="s">
        <v>241</v>
      </c>
      <c r="C24" s="22" t="s">
        <v>206</v>
      </c>
      <c r="D24" s="27" t="s">
        <v>242</v>
      </c>
      <c r="E24" s="22" t="s">
        <v>243</v>
      </c>
      <c r="F24" s="22" t="s">
        <v>260</v>
      </c>
      <c r="G24" s="22" t="s">
        <v>259</v>
      </c>
      <c r="H24" s="22" t="s">
        <v>182</v>
      </c>
      <c r="I24" s="22" t="s">
        <v>122</v>
      </c>
      <c r="J24" s="22" t="s">
        <v>244</v>
      </c>
    </row>
    <row r="25" spans="1:10" ht="124.8" x14ac:dyDescent="0.3">
      <c r="A25" s="22" t="s">
        <v>203</v>
      </c>
      <c r="B25" s="22" t="s">
        <v>248</v>
      </c>
      <c r="C25" s="22" t="s">
        <v>206</v>
      </c>
      <c r="D25" s="27" t="s">
        <v>242</v>
      </c>
      <c r="E25" s="22" t="s">
        <v>249</v>
      </c>
      <c r="F25" s="22" t="s">
        <v>261</v>
      </c>
      <c r="G25" s="22" t="s">
        <v>259</v>
      </c>
      <c r="H25" s="22" t="s">
        <v>182</v>
      </c>
      <c r="I25" s="22" t="s">
        <v>156</v>
      </c>
      <c r="J25" s="22"/>
    </row>
    <row r="26" spans="1:10" ht="140.4" x14ac:dyDescent="0.3">
      <c r="A26" s="22" t="s">
        <v>245</v>
      </c>
      <c r="B26" s="22" t="s">
        <v>250</v>
      </c>
      <c r="C26" s="22" t="s">
        <v>206</v>
      </c>
      <c r="D26" s="27" t="s">
        <v>242</v>
      </c>
      <c r="E26" s="22" t="s">
        <v>251</v>
      </c>
      <c r="F26" s="22" t="s">
        <v>261</v>
      </c>
      <c r="G26" s="22" t="s">
        <v>261</v>
      </c>
      <c r="H26" s="22" t="s">
        <v>121</v>
      </c>
      <c r="I26" s="22" t="s">
        <v>156</v>
      </c>
      <c r="J26" s="22"/>
    </row>
    <row r="27" spans="1:10" ht="140.4" x14ac:dyDescent="0.3">
      <c r="A27" s="22" t="s">
        <v>246</v>
      </c>
      <c r="B27" s="22" t="s">
        <v>252</v>
      </c>
      <c r="C27" s="22" t="s">
        <v>253</v>
      </c>
      <c r="D27" s="27" t="s">
        <v>242</v>
      </c>
      <c r="E27" s="22" t="s">
        <v>254</v>
      </c>
      <c r="F27" s="22" t="s">
        <v>261</v>
      </c>
      <c r="G27" s="22" t="s">
        <v>255</v>
      </c>
      <c r="H27" s="22" t="s">
        <v>182</v>
      </c>
      <c r="I27" s="22"/>
      <c r="J27" s="22"/>
    </row>
    <row r="28" spans="1:10" ht="140.4" x14ac:dyDescent="0.3">
      <c r="A28" s="22" t="s">
        <v>247</v>
      </c>
      <c r="B28" s="22" t="s">
        <v>256</v>
      </c>
      <c r="C28" s="22" t="s">
        <v>253</v>
      </c>
      <c r="D28" s="27" t="s">
        <v>242</v>
      </c>
      <c r="E28" s="22" t="s">
        <v>257</v>
      </c>
      <c r="F28" s="22" t="s">
        <v>261</v>
      </c>
      <c r="G28" s="22" t="s">
        <v>258</v>
      </c>
      <c r="H28" s="22" t="s">
        <v>182</v>
      </c>
      <c r="I28" s="22" t="s">
        <v>122</v>
      </c>
      <c r="J28" s="2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zoomScale="85" zoomScaleNormal="85" workbookViewId="0">
      <selection activeCell="I15" sqref="I15"/>
    </sheetView>
  </sheetViews>
  <sheetFormatPr defaultRowHeight="14.4" x14ac:dyDescent="0.3"/>
  <cols>
    <col min="2" max="2" width="39.33203125" bestFit="1" customWidth="1"/>
    <col min="3" max="3" width="12" bestFit="1" customWidth="1"/>
    <col min="4" max="4" width="15.77734375" customWidth="1"/>
    <col min="5" max="5" width="15.6640625" customWidth="1"/>
    <col min="6" max="6" width="38.109375" customWidth="1"/>
    <col min="7" max="7" width="16.6640625" style="8" customWidth="1"/>
    <col min="8" max="8" width="17" customWidth="1"/>
    <col min="9" max="9" width="43.33203125" bestFit="1" customWidth="1"/>
  </cols>
  <sheetData>
    <row r="1" spans="1:9" ht="31.2" x14ac:dyDescent="0.3">
      <c r="A1" s="21" t="s">
        <v>0</v>
      </c>
      <c r="B1" s="21" t="s">
        <v>263</v>
      </c>
      <c r="C1" s="21" t="s">
        <v>264</v>
      </c>
      <c r="D1" s="21" t="s">
        <v>265</v>
      </c>
      <c r="E1" s="21" t="s">
        <v>266</v>
      </c>
      <c r="F1" s="30" t="s">
        <v>267</v>
      </c>
      <c r="G1" s="30" t="s">
        <v>268</v>
      </c>
      <c r="H1" s="30" t="s">
        <v>269</v>
      </c>
      <c r="I1" s="30" t="s">
        <v>270</v>
      </c>
    </row>
    <row r="2" spans="1:9" ht="109.2" x14ac:dyDescent="0.3">
      <c r="A2" s="20" t="s">
        <v>279</v>
      </c>
      <c r="B2" s="21" t="s">
        <v>277</v>
      </c>
      <c r="C2" s="21" t="s">
        <v>271</v>
      </c>
      <c r="D2" s="21" t="s">
        <v>231</v>
      </c>
      <c r="E2" s="31" t="s">
        <v>285</v>
      </c>
      <c r="F2" s="20" t="s">
        <v>272</v>
      </c>
      <c r="G2" s="20" t="s">
        <v>273</v>
      </c>
      <c r="H2" s="20" t="s">
        <v>274</v>
      </c>
      <c r="I2" s="32" t="str">
        <f>HYPERLINK("C:\Users\777\Desktop\demoblaze отчеты\500.png")</f>
        <v>C:\Users\777\Desktop\demoblaze отчеты\500.png</v>
      </c>
    </row>
    <row r="3" spans="1:9" ht="140.4" x14ac:dyDescent="0.3">
      <c r="A3" s="20" t="s">
        <v>280</v>
      </c>
      <c r="B3" s="21" t="s">
        <v>286</v>
      </c>
      <c r="C3" s="21" t="s">
        <v>271</v>
      </c>
      <c r="D3" s="21" t="s">
        <v>276</v>
      </c>
      <c r="E3" s="31" t="s">
        <v>287</v>
      </c>
      <c r="F3" s="22" t="s">
        <v>288</v>
      </c>
      <c r="G3" s="22" t="s">
        <v>239</v>
      </c>
      <c r="H3" s="20" t="s">
        <v>290</v>
      </c>
      <c r="I3" s="33" t="str">
        <f>HYPERLINK("C:\Users\777\Desktop\demoblaze отчеты\500.png")</f>
        <v>C:\Users\777\Desktop\demoblaze отчеты\500.png</v>
      </c>
    </row>
    <row r="4" spans="1:9" ht="109.2" x14ac:dyDescent="0.3">
      <c r="A4" s="20" t="s">
        <v>281</v>
      </c>
      <c r="B4" s="21" t="s">
        <v>291</v>
      </c>
      <c r="C4" s="21" t="s">
        <v>271</v>
      </c>
      <c r="D4" s="21" t="s">
        <v>231</v>
      </c>
      <c r="E4" s="20" t="s">
        <v>202</v>
      </c>
      <c r="F4" s="22" t="s">
        <v>243</v>
      </c>
      <c r="G4" s="20" t="s">
        <v>233</v>
      </c>
      <c r="H4" s="20" t="s">
        <v>289</v>
      </c>
      <c r="I4" s="20" t="str">
        <f>HYPERLINK("C:\Users\777\Desktop\demoblaze отчеты\2026-06-24_13-29-58.png")</f>
        <v>C:\Users\777\Desktop\demoblaze отчеты\2026-06-24_13-29-58.png</v>
      </c>
    </row>
    <row r="5" spans="1:9" ht="93.6" x14ac:dyDescent="0.3">
      <c r="A5" s="20" t="s">
        <v>282</v>
      </c>
      <c r="B5" s="21" t="s">
        <v>292</v>
      </c>
      <c r="C5" s="21" t="s">
        <v>271</v>
      </c>
      <c r="D5" s="21" t="s">
        <v>231</v>
      </c>
      <c r="E5" s="21" t="s">
        <v>293</v>
      </c>
      <c r="F5" s="22" t="s">
        <v>249</v>
      </c>
      <c r="G5" s="21" t="s">
        <v>233</v>
      </c>
      <c r="H5" s="21" t="s">
        <v>294</v>
      </c>
      <c r="I5" s="33" t="str">
        <f>HYPERLINK("C:\Users\777\Desktop\demoblaze отчеты\2026-06-24_13-32-14.png")</f>
        <v>C:\Users\777\Desktop\demoblaze отчеты\2026-06-24_13-32-14.png</v>
      </c>
    </row>
    <row r="6" spans="1:9" ht="46.8" x14ac:dyDescent="0.3">
      <c r="A6" s="20" t="s">
        <v>283</v>
      </c>
      <c r="B6" s="21" t="s">
        <v>295</v>
      </c>
      <c r="C6" s="21" t="s">
        <v>271</v>
      </c>
      <c r="D6" s="20" t="s">
        <v>213</v>
      </c>
      <c r="E6" s="20" t="s">
        <v>196</v>
      </c>
      <c r="F6" s="29" t="s">
        <v>215</v>
      </c>
      <c r="G6" s="20" t="s">
        <v>296</v>
      </c>
      <c r="H6" s="20" t="s">
        <v>218</v>
      </c>
      <c r="I6" s="20" t="str">
        <f>HYPERLINK("C:\Users\777\Desktop\demoblaze отчеты\2026-06-24_12-58-45.png")</f>
        <v>C:\Users\777\Desktop\demoblaze отчеты\2026-06-24_12-58-45.png</v>
      </c>
    </row>
    <row r="7" spans="1:9" ht="46.8" x14ac:dyDescent="0.3">
      <c r="A7" s="20" t="s">
        <v>284</v>
      </c>
      <c r="B7" s="21" t="s">
        <v>297</v>
      </c>
      <c r="C7" s="21" t="s">
        <v>298</v>
      </c>
      <c r="D7" s="20" t="s">
        <v>213</v>
      </c>
      <c r="E7" s="20" t="s">
        <v>198</v>
      </c>
      <c r="F7" s="20" t="s">
        <v>223</v>
      </c>
      <c r="G7" s="20" t="s">
        <v>219</v>
      </c>
      <c r="H7" s="20" t="s">
        <v>218</v>
      </c>
      <c r="I7" s="20" t="str">
        <f>HYPERLINK("C:\Users\777\Desktop\demoblaze отчеты\2026-06-24_12-58-45.png")</f>
        <v>C:\Users\777\Desktop\demoblaze отчеты\2026-06-24_12-58-45.png</v>
      </c>
    </row>
    <row r="8" spans="1:9" ht="109.2" x14ac:dyDescent="0.3">
      <c r="A8" s="20" t="s">
        <v>299</v>
      </c>
      <c r="B8" s="21" t="s">
        <v>301</v>
      </c>
      <c r="C8" s="21" t="s">
        <v>275</v>
      </c>
      <c r="D8" s="34" t="s">
        <v>106</v>
      </c>
      <c r="E8" s="20" t="s">
        <v>246</v>
      </c>
      <c r="F8" s="22" t="s">
        <v>254</v>
      </c>
      <c r="G8" s="20" t="s">
        <v>261</v>
      </c>
      <c r="H8" s="22" t="s">
        <v>255</v>
      </c>
      <c r="I8" s="20" t="str">
        <f>HYPERLINK("C:\Users\777\Desktop\demoblaze отчеты\2026-06-24_13-42-45.png")</f>
        <v>C:\Users\777\Desktop\demoblaze отчеты\2026-06-24_13-42-45.png</v>
      </c>
    </row>
    <row r="9" spans="1:9" ht="124.8" x14ac:dyDescent="0.3">
      <c r="A9" s="20" t="s">
        <v>300</v>
      </c>
      <c r="B9" s="21" t="s">
        <v>302</v>
      </c>
      <c r="C9" s="21" t="s">
        <v>275</v>
      </c>
      <c r="D9" s="22" t="s">
        <v>253</v>
      </c>
      <c r="E9" s="20" t="s">
        <v>247</v>
      </c>
      <c r="F9" s="22" t="s">
        <v>257</v>
      </c>
      <c r="G9" s="22" t="s">
        <v>258</v>
      </c>
      <c r="H9" s="22" t="s">
        <v>261</v>
      </c>
      <c r="I9" s="20" t="str">
        <f>HYPERLINK("C:\Users\777\Desktop\demoblaze отчеты\2026-06-24_14-09-22.png")</f>
        <v>C:\Users\777\Desktop\demoblaze отчеты\2026-06-24_14-09-22.png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777</dc:creator>
  <cp:lastModifiedBy>777</cp:lastModifiedBy>
  <dcterms:created xsi:type="dcterms:W3CDTF">2026-06-23T18:26:51Z</dcterms:created>
  <dcterms:modified xsi:type="dcterms:W3CDTF">2026-06-25T21:53:13Z</dcterms:modified>
</cp:coreProperties>
</file>